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87CC7B57-7486-492C-8381-3CDD4D20627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Montgomery_Fleet_Equipment_Inve" sheetId="1" r:id="rId1"/>
    <sheet name="Pivot Table1" sheetId="2" r:id="rId2"/>
    <sheet name="Pivot Table2" sheetId="3" r:id="rId3"/>
    <sheet name="Pivot Table3" sheetId="4" r:id="rId4"/>
  </sheets>
  <definedNames>
    <definedName name="_xlnm._FilterDatabase" localSheetId="0" hidden="1">Montgomery_Fleet_Equipment_Inve!$A$1:$C$50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</calcChain>
</file>

<file path=xl/sharedStrings.xml><?xml version="1.0" encoding="utf-8"?>
<sst xmlns="http://schemas.openxmlformats.org/spreadsheetml/2006/main" count="158" uniqueCount="41">
  <si>
    <t>Department</t>
  </si>
  <si>
    <t>Equipment Class</t>
  </si>
  <si>
    <t>Equipment Count</t>
  </si>
  <si>
    <t>Housing and Community Affairs</t>
  </si>
  <si>
    <t>Pick Up Trucks</t>
  </si>
  <si>
    <t>equipment count</t>
  </si>
  <si>
    <t>SUV</t>
  </si>
  <si>
    <t>sum=</t>
  </si>
  <si>
    <t>Sedan</t>
  </si>
  <si>
    <t>avg=</t>
  </si>
  <si>
    <t>Human Rights</t>
  </si>
  <si>
    <t>min=</t>
  </si>
  <si>
    <t>Libraries</t>
  </si>
  <si>
    <t>max=</t>
  </si>
  <si>
    <t>Van</t>
  </si>
  <si>
    <t>count=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</si>
  <si>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</si>
  <si>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</si>
  <si>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</si>
  <si>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</si>
  <si>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</si>
  <si>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</si>
  <si>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</si>
  <si>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</si>
  <si>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</si>
  <si>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</si>
  <si>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</si>
  <si>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</si>
  <si>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</si>
  <si>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</si>
  <si>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</si>
  <si>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</si>
  <si>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</si>
  <si>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</si>
  <si>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</si>
  <si>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</si>
  <si>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Office Of Homeland Security Total</t>
  </si>
  <si>
    <t>Grand Total</t>
  </si>
  <si>
    <t>Libraries Total</t>
  </si>
  <si>
    <t>(blank)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</si>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</sst>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[Montgomery_Fleet_Equipment_Inventory_FA_PART_2_END.xlsx]Pivot Table2!PivotTable2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Table2'!$A$4:$B$20</c:f>
              <c:multiLvlStrCache>
                <c:ptCount val="15"/>
                <c:lvl>
                  <c:pt idx="7">
                    <c:v>Medium Duty</c:v>
                  </c:pt>
                  <c:pt idx="8">
                    <c:v>Pick Up Trucks</c:v>
                  </c:pt>
                  <c:pt idx="9">
                    <c:v>Van</c:v>
                  </c:pt>
                </c:lvl>
                <c:lvl>
                  <c:pt idx="0">
                    <c:v>Transportation</c:v>
                  </c:pt>
                  <c:pt idx="1">
                    <c:v>Permitting Services</c:v>
                  </c:pt>
                  <c:pt idx="2">
                    <c:v>Sheriffs Office</c:v>
                  </c:pt>
                  <c:pt idx="3">
                    <c:v>Liquor Control</c:v>
                  </c:pt>
                  <c:pt idx="4">
                    <c:v>Housing and Community Affairs</c:v>
                  </c:pt>
                  <c:pt idx="5">
                    <c:v>Recreation</c:v>
                  </c:pt>
                  <c:pt idx="6">
                    <c:v>Technology Services</c:v>
                  </c:pt>
                  <c:pt idx="7">
                    <c:v>Libraries</c:v>
                  </c:pt>
                  <c:pt idx="10">
                    <c:v>State Attorneys Office</c:v>
                  </c:pt>
                  <c:pt idx="11">
                    <c:v>Human Rights</c:v>
                  </c:pt>
                  <c:pt idx="12">
                    <c:v>Office Of Homeland Security</c:v>
                  </c:pt>
                  <c:pt idx="13">
                    <c:v>Public Information Office</c:v>
                  </c:pt>
                  <c:pt idx="14">
                    <c:v>(blank)</c:v>
                  </c:pt>
                </c:lvl>
              </c:multiLvlStrCache>
            </c:multiLvlStrRef>
          </c:cat>
          <c:val>
            <c:numRef>
              <c:f>'Pivot Table2'!$C$4:$C$20</c:f>
              <c:numCache>
                <c:formatCode>General</c:formatCode>
                <c:ptCount val="15"/>
                <c:pt idx="0">
                  <c:v>1221</c:v>
                </c:pt>
                <c:pt idx="1">
                  <c:v>109</c:v>
                </c:pt>
                <c:pt idx="2">
                  <c:v>85</c:v>
                </c:pt>
                <c:pt idx="3">
                  <c:v>56</c:v>
                </c:pt>
                <c:pt idx="4">
                  <c:v>45</c:v>
                </c:pt>
                <c:pt idx="5">
                  <c:v>35</c:v>
                </c:pt>
                <c:pt idx="6">
                  <c:v>16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C-4F62-9DEA-EBF0D2071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axId val="125085704"/>
        <c:axId val="125104136"/>
      </c:barChart>
      <c:catAx>
        <c:axId val="1250857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104136"/>
        <c:crosses val="autoZero"/>
        <c:auto val="1"/>
        <c:lblAlgn val="ctr"/>
        <c:lblOffset val="100"/>
        <c:noMultiLvlLbl val="0"/>
      </c:catAx>
      <c:valAx>
        <c:axId val="12510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5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6</xdr:row>
      <xdr:rowOff>57150</xdr:rowOff>
    </xdr:from>
    <xdr:to>
      <xdr:col>10</xdr:col>
      <xdr:colOff>409575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4141D-55F0-5DF2-848F-41919EB9C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1.963671180558" createdVersion="8" refreshedVersion="8" minRefreshableVersion="3" recordCount="52" xr:uid="{9BFA82B3-C1D3-4DB9-9089-03DF51207593}">
  <cacheSource type="worksheet">
    <worksheetSource ref="A1:C1048576" sheet="Montgomery_Fleet_Equipment_Inve"/>
  </cacheSource>
  <cacheFields count="3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tring="0" containsBlank="1" containsNumber="1" containsInteger="1" minValue="1" maxValue="379"/>
    </cacheField>
  </cacheFields>
  <extLst>
    <ext xmlns:x14="http://schemas.microsoft.com/office/spreadsheetml/2009/9/main" uri="{725AE2AE-9491-48be-B2B4-4EB974FC3084}">
      <x14:pivotCacheDefinition pivotCacheId="14200442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  <r>
    <x v="12"/>
    <x v="14"/>
    <m/>
  </r>
  <r>
    <x v="12"/>
    <x v="14"/>
    <m/>
  </r>
  <r>
    <x v="12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40C95-365F-47A5-88B8-E4D8B538632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6" firstHeaderRow="1" firstDataRow="1" firstDataCol="2"/>
  <pivotFields count="3">
    <pivotField axis="axisRow" compact="0" outline="0" showAll="0" sortType="descending">
      <items count="14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compact="0" outline="0" showAll="0"/>
  </pivotFields>
  <rowFields count="2">
    <field x="0"/>
    <field x="1"/>
  </rowFields>
  <rowItems count="3">
    <i>
      <x v="4"/>
      <x v="11"/>
    </i>
    <i t="default"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44CB4-F9A4-459F-A562-F6317B2A93F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0" firstHeaderRow="1" firstDataRow="1" firstDataCol="2"/>
  <pivotFields count="3">
    <pivotField axis="axisRow" compact="0" outline="0" showAll="0" sortType="descending">
      <items count="14">
        <item sd="0" x="0"/>
        <item sd="0"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compact="0" outline="0" showAll="0"/>
  </pivotFields>
  <rowFields count="2">
    <field x="0"/>
    <field x="1"/>
  </rowFields>
  <rowItems count="17">
    <i>
      <x v="11"/>
    </i>
    <i>
      <x v="5"/>
    </i>
    <i>
      <x v="8"/>
    </i>
    <i>
      <x v="3"/>
    </i>
    <i>
      <x/>
    </i>
    <i>
      <x v="7"/>
    </i>
    <i>
      <x v="10"/>
    </i>
    <i>
      <x v="2"/>
      <x v="2"/>
    </i>
    <i r="1">
      <x v="4"/>
    </i>
    <i r="1">
      <x v="13"/>
    </i>
    <i t="default">
      <x v="2"/>
    </i>
    <i>
      <x v="9"/>
    </i>
    <i>
      <x v="1"/>
    </i>
    <i>
      <x v="4"/>
    </i>
    <i>
      <x v="6"/>
    </i>
    <i>
      <x v="12"/>
    </i>
    <i t="grand">
      <x/>
    </i>
  </rowItems>
  <colItems count="1">
    <i/>
  </colItems>
  <dataFields count="1">
    <dataField name="Sum of Equipment C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041A7-31EA-4F95-9F48-4C744CF1561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3">
    <pivotField axis="axisRow" compact="0" outline="0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sd="0" x="14"/>
        <item t="default"/>
      </items>
    </pivotField>
    <pivotField dataField="1" compact="0" outline="0" showAll="0"/>
  </pivotFields>
  <rowFields count="2">
    <field x="1"/>
    <field x="0"/>
  </rowFields>
  <rowItems count="19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22B86-2B07-4AB6-A7C0-B48D44AF7BFC}" name="Table1" displayName="Table1" ref="A1:C50" totalsRowShown="0">
  <autoFilter ref="A1:C50" xr:uid="{0DC22B86-2B07-4AB6-A7C0-B48D44AF7BFC}"/>
  <tableColumns count="3">
    <tableColumn id="1" xr3:uid="{FB6638BA-15E2-4D92-A055-1BB4FA4F2CF1}" name="Department"/>
    <tableColumn id="2" xr3:uid="{CB917C00-16D5-4370-B279-50245B01905D}" name="Equipment Class"/>
    <tableColumn id="3" xr3:uid="{C1FDE469-6D49-4FCB-B07F-098089594B10}" name="Equipment Cou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0" sqref="F10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t="s">
        <v>3</v>
      </c>
      <c r="B2" t="s">
        <v>4</v>
      </c>
      <c r="C2">
        <v>21</v>
      </c>
      <c r="F2" t="s">
        <v>5</v>
      </c>
    </row>
    <row r="3" spans="1:7">
      <c r="A3" t="s">
        <v>3</v>
      </c>
      <c r="B3" t="s">
        <v>6</v>
      </c>
      <c r="C3">
        <v>1</v>
      </c>
      <c r="F3" s="3" t="s">
        <v>7</v>
      </c>
      <c r="G3" s="4">
        <f>SUM(Table1[Equipment Count])</f>
        <v>1582</v>
      </c>
    </row>
    <row r="4" spans="1:7">
      <c r="A4" t="s">
        <v>3</v>
      </c>
      <c r="B4" t="s">
        <v>8</v>
      </c>
      <c r="C4">
        <v>23</v>
      </c>
      <c r="F4" s="3" t="s">
        <v>9</v>
      </c>
      <c r="G4" s="4">
        <f>AVERAGE(Table1[Equipment Count])</f>
        <v>32.285714285714285</v>
      </c>
    </row>
    <row r="5" spans="1:7">
      <c r="A5" t="s">
        <v>10</v>
      </c>
      <c r="B5" t="s">
        <v>8</v>
      </c>
      <c r="C5">
        <v>2</v>
      </c>
      <c r="F5" s="3" t="s">
        <v>11</v>
      </c>
      <c r="G5" s="4">
        <f>MIN(Table1[Equipment Count])</f>
        <v>1</v>
      </c>
    </row>
    <row r="6" spans="1:7">
      <c r="A6" t="s">
        <v>12</v>
      </c>
      <c r="B6" t="s">
        <v>4</v>
      </c>
      <c r="C6">
        <v>3</v>
      </c>
      <c r="F6" s="3" t="s">
        <v>13</v>
      </c>
      <c r="G6" s="4">
        <f>MAX(Table1[Equipment Count])</f>
        <v>379</v>
      </c>
    </row>
    <row r="7" spans="1:7">
      <c r="A7" t="s">
        <v>12</v>
      </c>
      <c r="B7" t="s">
        <v>14</v>
      </c>
      <c r="C7">
        <v>2</v>
      </c>
      <c r="F7" s="3" t="s">
        <v>15</v>
      </c>
      <c r="G7" s="4">
        <f>COUNT(Table1[Equipment Count])</f>
        <v>49</v>
      </c>
    </row>
    <row r="8" spans="1:7">
      <c r="A8" t="s">
        <v>12</v>
      </c>
      <c r="B8" t="s">
        <v>16</v>
      </c>
      <c r="C8">
        <v>1</v>
      </c>
    </row>
    <row r="9" spans="1:7">
      <c r="A9" t="s">
        <v>17</v>
      </c>
      <c r="B9" t="s">
        <v>14</v>
      </c>
      <c r="C9">
        <v>2</v>
      </c>
    </row>
    <row r="10" spans="1:7">
      <c r="A10" t="s">
        <v>17</v>
      </c>
      <c r="B10" t="s">
        <v>18</v>
      </c>
      <c r="C10">
        <v>42</v>
      </c>
    </row>
    <row r="11" spans="1:7">
      <c r="A11" t="s">
        <v>17</v>
      </c>
      <c r="B11" t="s">
        <v>6</v>
      </c>
      <c r="C11">
        <v>1</v>
      </c>
    </row>
    <row r="12" spans="1:7">
      <c r="A12" t="s">
        <v>17</v>
      </c>
      <c r="B12" t="s">
        <v>8</v>
      </c>
      <c r="C12">
        <v>11</v>
      </c>
    </row>
    <row r="13" spans="1:7">
      <c r="A13" t="s">
        <v>19</v>
      </c>
      <c r="B13" t="s">
        <v>6</v>
      </c>
      <c r="C13">
        <v>1</v>
      </c>
    </row>
    <row r="14" spans="1:7">
      <c r="A14" t="s">
        <v>20</v>
      </c>
      <c r="B14" t="s">
        <v>21</v>
      </c>
      <c r="C14">
        <v>9</v>
      </c>
    </row>
    <row r="15" spans="1:7">
      <c r="A15" t="s">
        <v>20</v>
      </c>
      <c r="B15" t="s">
        <v>6</v>
      </c>
      <c r="C15">
        <v>27</v>
      </c>
    </row>
    <row r="16" spans="1:7">
      <c r="A16" t="s">
        <v>20</v>
      </c>
      <c r="B16" t="s">
        <v>4</v>
      </c>
      <c r="C16">
        <v>24</v>
      </c>
    </row>
    <row r="17" spans="1:3">
      <c r="A17" t="s">
        <v>20</v>
      </c>
      <c r="B17" t="s">
        <v>14</v>
      </c>
      <c r="C17">
        <v>1</v>
      </c>
    </row>
    <row r="18" spans="1:3">
      <c r="A18" t="s">
        <v>20</v>
      </c>
      <c r="B18" t="s">
        <v>8</v>
      </c>
      <c r="C18">
        <v>48</v>
      </c>
    </row>
    <row r="19" spans="1:3">
      <c r="A19" t="s">
        <v>22</v>
      </c>
      <c r="B19" t="s">
        <v>14</v>
      </c>
      <c r="C19">
        <v>1</v>
      </c>
    </row>
    <row r="20" spans="1:3">
      <c r="A20" t="s">
        <v>23</v>
      </c>
      <c r="B20" t="s">
        <v>8</v>
      </c>
      <c r="C20">
        <v>6</v>
      </c>
    </row>
    <row r="21" spans="1:3">
      <c r="A21" t="s">
        <v>23</v>
      </c>
      <c r="B21" t="s">
        <v>4</v>
      </c>
      <c r="C21">
        <v>5</v>
      </c>
    </row>
    <row r="22" spans="1:3">
      <c r="A22" t="s">
        <v>23</v>
      </c>
      <c r="B22" t="s">
        <v>6</v>
      </c>
      <c r="C22">
        <v>2</v>
      </c>
    </row>
    <row r="23" spans="1:3">
      <c r="A23" t="s">
        <v>23</v>
      </c>
      <c r="B23" t="s">
        <v>14</v>
      </c>
      <c r="C23">
        <v>15</v>
      </c>
    </row>
    <row r="24" spans="1:3">
      <c r="A24" t="s">
        <v>23</v>
      </c>
      <c r="B24" t="s">
        <v>24</v>
      </c>
      <c r="C24">
        <v>7</v>
      </c>
    </row>
    <row r="25" spans="1:3">
      <c r="A25" t="s">
        <v>25</v>
      </c>
      <c r="B25" t="s">
        <v>26</v>
      </c>
      <c r="C25">
        <v>20</v>
      </c>
    </row>
    <row r="26" spans="1:3">
      <c r="A26" t="s">
        <v>25</v>
      </c>
      <c r="B26" t="s">
        <v>8</v>
      </c>
      <c r="C26">
        <v>1</v>
      </c>
    </row>
    <row r="27" spans="1:3">
      <c r="A27" t="s">
        <v>25</v>
      </c>
      <c r="B27" t="s">
        <v>16</v>
      </c>
      <c r="C27">
        <v>1</v>
      </c>
    </row>
    <row r="28" spans="1:3">
      <c r="A28" t="s">
        <v>25</v>
      </c>
      <c r="B28" t="s">
        <v>4</v>
      </c>
      <c r="C28">
        <v>3</v>
      </c>
    </row>
    <row r="29" spans="1:3">
      <c r="A29" t="s">
        <v>25</v>
      </c>
      <c r="B29" t="s">
        <v>6</v>
      </c>
      <c r="C29">
        <v>1</v>
      </c>
    </row>
    <row r="30" spans="1:3">
      <c r="A30" t="s">
        <v>25</v>
      </c>
      <c r="B30" t="s">
        <v>27</v>
      </c>
      <c r="C30">
        <v>8</v>
      </c>
    </row>
    <row r="31" spans="1:3">
      <c r="A31" t="s">
        <v>25</v>
      </c>
      <c r="B31" t="s">
        <v>28</v>
      </c>
      <c r="C31">
        <v>4</v>
      </c>
    </row>
    <row r="32" spans="1:3">
      <c r="A32" t="s">
        <v>25</v>
      </c>
      <c r="B32" t="s">
        <v>29</v>
      </c>
      <c r="C32">
        <v>46</v>
      </c>
    </row>
    <row r="33" spans="1:3">
      <c r="A33" t="s">
        <v>25</v>
      </c>
      <c r="B33" t="s">
        <v>30</v>
      </c>
      <c r="C33">
        <v>1</v>
      </c>
    </row>
    <row r="34" spans="1:3">
      <c r="A34" t="s">
        <v>31</v>
      </c>
      <c r="B34" t="s">
        <v>29</v>
      </c>
      <c r="C34">
        <v>1</v>
      </c>
    </row>
    <row r="35" spans="1:3">
      <c r="A35" t="s">
        <v>31</v>
      </c>
      <c r="B35" t="s">
        <v>14</v>
      </c>
      <c r="C35">
        <v>1</v>
      </c>
    </row>
    <row r="36" spans="1:3">
      <c r="A36" t="s">
        <v>31</v>
      </c>
      <c r="B36" t="s">
        <v>6</v>
      </c>
      <c r="C36">
        <v>1</v>
      </c>
    </row>
    <row r="37" spans="1:3">
      <c r="A37" t="s">
        <v>31</v>
      </c>
      <c r="B37" t="s">
        <v>8</v>
      </c>
      <c r="C37">
        <v>2</v>
      </c>
    </row>
    <row r="38" spans="1:3">
      <c r="A38" t="s">
        <v>32</v>
      </c>
      <c r="B38" t="s">
        <v>4</v>
      </c>
      <c r="C38">
        <v>1</v>
      </c>
    </row>
    <row r="39" spans="1:3">
      <c r="A39" t="s">
        <v>32</v>
      </c>
      <c r="B39" t="s">
        <v>21</v>
      </c>
      <c r="C39">
        <v>1</v>
      </c>
    </row>
    <row r="40" spans="1:3">
      <c r="A40" t="s">
        <v>32</v>
      </c>
      <c r="B40" t="s">
        <v>14</v>
      </c>
      <c r="C40">
        <v>11</v>
      </c>
    </row>
    <row r="41" spans="1:3">
      <c r="A41" t="s">
        <v>32</v>
      </c>
      <c r="B41" t="s">
        <v>6</v>
      </c>
      <c r="C41">
        <v>3</v>
      </c>
    </row>
    <row r="42" spans="1:3">
      <c r="A42" t="s">
        <v>33</v>
      </c>
      <c r="B42" t="s">
        <v>4</v>
      </c>
      <c r="C42">
        <v>93</v>
      </c>
    </row>
    <row r="43" spans="1:3">
      <c r="A43" t="s">
        <v>33</v>
      </c>
      <c r="B43" t="s">
        <v>18</v>
      </c>
      <c r="C43">
        <v>248</v>
      </c>
    </row>
    <row r="44" spans="1:3">
      <c r="A44" t="s">
        <v>33</v>
      </c>
      <c r="B44" t="s">
        <v>34</v>
      </c>
      <c r="C44">
        <v>379</v>
      </c>
    </row>
    <row r="45" spans="1:3">
      <c r="A45" t="s">
        <v>33</v>
      </c>
      <c r="B45" t="s">
        <v>6</v>
      </c>
      <c r="C45">
        <v>53</v>
      </c>
    </row>
    <row r="46" spans="1:3">
      <c r="A46" t="s">
        <v>33</v>
      </c>
      <c r="B46" t="s">
        <v>14</v>
      </c>
      <c r="C46">
        <v>32</v>
      </c>
    </row>
    <row r="47" spans="1:3">
      <c r="A47" t="s">
        <v>33</v>
      </c>
      <c r="B47" t="s">
        <v>16</v>
      </c>
      <c r="C47">
        <v>98</v>
      </c>
    </row>
    <row r="48" spans="1:3">
      <c r="A48" t="s">
        <v>33</v>
      </c>
      <c r="B48" t="s">
        <v>24</v>
      </c>
      <c r="C48">
        <v>276</v>
      </c>
    </row>
    <row r="49" spans="1:3">
      <c r="A49" t="s">
        <v>33</v>
      </c>
      <c r="B49" t="s">
        <v>21</v>
      </c>
      <c r="C49">
        <v>5</v>
      </c>
    </row>
    <row r="50" spans="1:3">
      <c r="A50" t="s">
        <v>33</v>
      </c>
      <c r="B50" t="s">
        <v>8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D742-875C-4C2C-98AA-0BB2F45A089F}">
  <dimension ref="A3:C6"/>
  <sheetViews>
    <sheetView workbookViewId="0">
      <selection activeCell="A4" sqref="A4"/>
    </sheetView>
  </sheetViews>
  <sheetFormatPr defaultRowHeight="15"/>
  <cols>
    <col min="1" max="1" width="26.42578125" bestFit="1" customWidth="1"/>
    <col min="2" max="2" width="19.140625" bestFit="1" customWidth="1"/>
    <col min="3" max="3" width="23.85546875" bestFit="1" customWidth="1"/>
  </cols>
  <sheetData>
    <row r="3" spans="1:3">
      <c r="A3" s="1" t="s">
        <v>0</v>
      </c>
      <c r="B3" s="1" t="s">
        <v>1</v>
      </c>
      <c r="C3" t="s">
        <v>35</v>
      </c>
    </row>
    <row r="4" spans="1:3">
      <c r="A4" t="s">
        <v>19</v>
      </c>
      <c r="B4" t="s">
        <v>6</v>
      </c>
      <c r="C4" s="2">
        <v>1</v>
      </c>
    </row>
    <row r="5" spans="1:3">
      <c r="A5" t="s">
        <v>36</v>
      </c>
      <c r="C5" s="2">
        <v>1</v>
      </c>
    </row>
    <row r="6" spans="1:3">
      <c r="A6" t="s">
        <v>37</v>
      </c>
      <c r="C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8093-7DD7-41D6-B591-AA556CB2BFA8}">
  <dimension ref="A3:C20"/>
  <sheetViews>
    <sheetView tabSelected="1" workbookViewId="0">
      <selection activeCell="A2" sqref="A2"/>
    </sheetView>
  </sheetViews>
  <sheetFormatPr defaultRowHeight="15"/>
  <cols>
    <col min="1" max="1" width="29.28515625" bestFit="1" customWidth="1"/>
    <col min="2" max="2" width="19.140625" bestFit="1" customWidth="1"/>
    <col min="3" max="3" width="23.85546875" bestFit="1" customWidth="1"/>
  </cols>
  <sheetData>
    <row r="3" spans="1:3">
      <c r="A3" s="1" t="s">
        <v>0</v>
      </c>
      <c r="B3" s="1" t="s">
        <v>1</v>
      </c>
      <c r="C3" t="s">
        <v>35</v>
      </c>
    </row>
    <row r="4" spans="1:3">
      <c r="A4" t="s">
        <v>33</v>
      </c>
      <c r="C4" s="2">
        <v>1221</v>
      </c>
    </row>
    <row r="5" spans="1:3">
      <c r="A5" t="s">
        <v>20</v>
      </c>
      <c r="C5" s="2">
        <v>109</v>
      </c>
    </row>
    <row r="6" spans="1:3">
      <c r="A6" t="s">
        <v>25</v>
      </c>
      <c r="C6" s="2">
        <v>85</v>
      </c>
    </row>
    <row r="7" spans="1:3">
      <c r="A7" t="s">
        <v>17</v>
      </c>
      <c r="C7" s="2">
        <v>56</v>
      </c>
    </row>
    <row r="8" spans="1:3">
      <c r="A8" t="s">
        <v>3</v>
      </c>
      <c r="C8" s="2">
        <v>45</v>
      </c>
    </row>
    <row r="9" spans="1:3">
      <c r="A9" t="s">
        <v>23</v>
      </c>
      <c r="C9" s="2">
        <v>35</v>
      </c>
    </row>
    <row r="10" spans="1:3">
      <c r="A10" t="s">
        <v>32</v>
      </c>
      <c r="C10" s="2">
        <v>16</v>
      </c>
    </row>
    <row r="11" spans="1:3">
      <c r="A11" t="s">
        <v>12</v>
      </c>
      <c r="B11" t="s">
        <v>16</v>
      </c>
      <c r="C11" s="2">
        <v>1</v>
      </c>
    </row>
    <row r="12" spans="1:3">
      <c r="B12" t="s">
        <v>4</v>
      </c>
      <c r="C12" s="2">
        <v>3</v>
      </c>
    </row>
    <row r="13" spans="1:3">
      <c r="B13" t="s">
        <v>14</v>
      </c>
      <c r="C13" s="2">
        <v>2</v>
      </c>
    </row>
    <row r="14" spans="1:3">
      <c r="A14" t="s">
        <v>38</v>
      </c>
      <c r="C14" s="2">
        <v>6</v>
      </c>
    </row>
    <row r="15" spans="1:3">
      <c r="A15" t="s">
        <v>31</v>
      </c>
      <c r="C15" s="2">
        <v>5</v>
      </c>
    </row>
    <row r="16" spans="1:3">
      <c r="A16" t="s">
        <v>10</v>
      </c>
      <c r="C16" s="2">
        <v>2</v>
      </c>
    </row>
    <row r="17" spans="1:3">
      <c r="A17" t="s">
        <v>19</v>
      </c>
      <c r="C17" s="2">
        <v>1</v>
      </c>
    </row>
    <row r="18" spans="1:3">
      <c r="A18" t="s">
        <v>22</v>
      </c>
      <c r="C18" s="2">
        <v>1</v>
      </c>
    </row>
    <row r="19" spans="1:3">
      <c r="A19" t="s">
        <v>39</v>
      </c>
      <c r="C19" s="2"/>
    </row>
    <row r="20" spans="1:3">
      <c r="A20" t="s">
        <v>37</v>
      </c>
      <c r="C20" s="2">
        <v>1582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FC0A-EA10-46B4-8ADB-2C42376C7372}">
  <dimension ref="A3:C22"/>
  <sheetViews>
    <sheetView workbookViewId="0">
      <selection activeCell="B24" sqref="B24"/>
    </sheetView>
  </sheetViews>
  <sheetFormatPr defaultRowHeight="15"/>
  <cols>
    <col min="1" max="1" width="29.28515625" bestFit="1" customWidth="1"/>
    <col min="2" max="2" width="19" bestFit="1" customWidth="1"/>
    <col min="3" max="3" width="23.85546875" bestFit="1" customWidth="1"/>
  </cols>
  <sheetData>
    <row r="3" spans="1:3">
      <c r="A3" s="1" t="s">
        <v>1</v>
      </c>
      <c r="B3" s="1" t="s">
        <v>0</v>
      </c>
      <c r="C3" t="s">
        <v>35</v>
      </c>
    </row>
    <row r="4" spans="1:3">
      <c r="A4" t="s">
        <v>21</v>
      </c>
      <c r="B4" t="s">
        <v>20</v>
      </c>
      <c r="C4" s="2">
        <v>9</v>
      </c>
    </row>
    <row r="5" spans="1:3">
      <c r="B5" t="s">
        <v>33</v>
      </c>
      <c r="C5" s="2">
        <v>5</v>
      </c>
    </row>
    <row r="6" spans="1:3">
      <c r="B6" t="s">
        <v>32</v>
      </c>
      <c r="C6" s="2">
        <v>1</v>
      </c>
    </row>
    <row r="7" spans="1:3">
      <c r="A7" t="s">
        <v>40</v>
      </c>
      <c r="C7" s="2">
        <v>15</v>
      </c>
    </row>
    <row r="8" spans="1:3">
      <c r="A8" t="s">
        <v>18</v>
      </c>
      <c r="C8" s="2">
        <v>290</v>
      </c>
    </row>
    <row r="9" spans="1:3">
      <c r="A9" t="s">
        <v>16</v>
      </c>
      <c r="C9" s="2">
        <v>100</v>
      </c>
    </row>
    <row r="10" spans="1:3">
      <c r="A10" t="s">
        <v>24</v>
      </c>
      <c r="C10" s="2">
        <v>283</v>
      </c>
    </row>
    <row r="11" spans="1:3">
      <c r="A11" t="s">
        <v>4</v>
      </c>
      <c r="C11" s="2">
        <v>150</v>
      </c>
    </row>
    <row r="12" spans="1:3">
      <c r="A12" t="s">
        <v>28</v>
      </c>
      <c r="C12" s="2">
        <v>4</v>
      </c>
    </row>
    <row r="13" spans="1:3">
      <c r="A13" t="s">
        <v>30</v>
      </c>
      <c r="C13" s="2">
        <v>1</v>
      </c>
    </row>
    <row r="14" spans="1:3">
      <c r="A14" t="s">
        <v>29</v>
      </c>
      <c r="C14" s="2">
        <v>47</v>
      </c>
    </row>
    <row r="15" spans="1:3">
      <c r="A15" t="s">
        <v>26</v>
      </c>
      <c r="C15" s="2">
        <v>20</v>
      </c>
    </row>
    <row r="16" spans="1:3">
      <c r="A16" t="s">
        <v>27</v>
      </c>
      <c r="C16" s="2">
        <v>8</v>
      </c>
    </row>
    <row r="17" spans="1:3">
      <c r="A17" t="s">
        <v>8</v>
      </c>
      <c r="C17" s="2">
        <v>130</v>
      </c>
    </row>
    <row r="18" spans="1:3">
      <c r="A18" t="s">
        <v>6</v>
      </c>
      <c r="C18" s="2">
        <v>90</v>
      </c>
    </row>
    <row r="19" spans="1:3">
      <c r="A19" t="s">
        <v>34</v>
      </c>
      <c r="C19" s="2">
        <v>379</v>
      </c>
    </row>
    <row r="20" spans="1:3">
      <c r="A20" t="s">
        <v>14</v>
      </c>
      <c r="C20" s="2">
        <v>65</v>
      </c>
    </row>
    <row r="21" spans="1:3">
      <c r="A21" t="s">
        <v>39</v>
      </c>
      <c r="C21" s="2"/>
    </row>
    <row r="22" spans="1:3">
      <c r="A22" t="s">
        <v>37</v>
      </c>
      <c r="C22" s="2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2026-10-04T17:33:05Z</dcterms:modified>
  <cp:category/>
  <cp:contentStatus/>
</cp:coreProperties>
</file>